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\git ta\"/>
    </mc:Choice>
  </mc:AlternateContent>
  <xr:revisionPtr revIDLastSave="0" documentId="13_ncr:1_{6F061460-705A-4539-A53A-C247F0CEFA21}" xr6:coauthVersionLast="47" xr6:coauthVersionMax="47" xr10:uidLastSave="{00000000-0000-0000-0000-000000000000}"/>
  <bookViews>
    <workbookView xWindow="-120" yWindow="-120" windowWidth="29040" windowHeight="15720" xr2:uid="{A7089781-A716-412D-87ED-AB088FC0A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" i="1" l="1"/>
  <c r="K2" i="1"/>
  <c r="K3" i="1"/>
  <c r="K4" i="1"/>
  <c r="K5" i="1"/>
  <c r="K6" i="1"/>
  <c r="S4" i="1"/>
  <c r="V4" i="1" s="1"/>
  <c r="S5" i="1"/>
  <c r="V5" i="1" s="1"/>
  <c r="T2" i="1"/>
  <c r="W2" i="1" s="1"/>
  <c r="P3" i="1"/>
  <c r="P4" i="1"/>
  <c r="P5" i="1"/>
  <c r="P6" i="1"/>
  <c r="O3" i="1"/>
  <c r="S3" i="1" s="1"/>
  <c r="V3" i="1" s="1"/>
  <c r="O4" i="1"/>
  <c r="O5" i="1"/>
  <c r="O6" i="1"/>
  <c r="N3" i="1"/>
  <c r="N4" i="1"/>
  <c r="Q4" i="1" s="1"/>
  <c r="N5" i="1"/>
  <c r="Q5" i="1" s="1"/>
  <c r="N6" i="1"/>
  <c r="Q6" i="1" s="1"/>
  <c r="P2" i="1"/>
  <c r="O2" i="1"/>
  <c r="N2" i="1"/>
  <c r="L3" i="1"/>
  <c r="R3" i="1" s="1"/>
  <c r="U3" i="1" s="1"/>
  <c r="L4" i="1"/>
  <c r="R4" i="1" s="1"/>
  <c r="U4" i="1" s="1"/>
  <c r="L5" i="1"/>
  <c r="R5" i="1" s="1"/>
  <c r="U5" i="1" s="1"/>
  <c r="L6" i="1"/>
  <c r="R6" i="1" s="1"/>
  <c r="U6" i="1" s="1"/>
  <c r="L2" i="1"/>
  <c r="J3" i="1"/>
  <c r="J4" i="1"/>
  <c r="J5" i="1"/>
  <c r="J6" i="1"/>
  <c r="M6" i="1" s="1"/>
  <c r="J2" i="1"/>
  <c r="H3" i="1"/>
  <c r="H4" i="1"/>
  <c r="H5" i="1"/>
  <c r="H6" i="1"/>
  <c r="H2" i="1"/>
  <c r="G3" i="1"/>
  <c r="G4" i="1"/>
  <c r="G5" i="1"/>
  <c r="I5" i="1" s="1"/>
  <c r="G6" i="1"/>
  <c r="G2" i="1"/>
  <c r="F3" i="1"/>
  <c r="T3" i="1" s="1"/>
  <c r="W3" i="1" s="1"/>
  <c r="F4" i="1"/>
  <c r="T4" i="1" s="1"/>
  <c r="W4" i="1" s="1"/>
  <c r="F5" i="1"/>
  <c r="T5" i="1" s="1"/>
  <c r="W5" i="1" s="1"/>
  <c r="F6" i="1"/>
  <c r="T6" i="1" s="1"/>
  <c r="W6" i="1" s="1"/>
  <c r="F2" i="1"/>
  <c r="S6" i="1" l="1"/>
  <c r="V6" i="1" s="1"/>
  <c r="Q3" i="1"/>
  <c r="I2" i="1"/>
  <c r="Q2" i="1"/>
  <c r="I4" i="1"/>
  <c r="M3" i="1"/>
  <c r="I3" i="1"/>
  <c r="S2" i="1"/>
  <c r="V2" i="1" s="1"/>
  <c r="I6" i="1"/>
  <c r="M5" i="1"/>
  <c r="M4" i="1"/>
  <c r="M2" i="1"/>
  <c r="R2" i="1"/>
</calcChain>
</file>

<file path=xl/sharedStrings.xml><?xml version="1.0" encoding="utf-8"?>
<sst xmlns="http://schemas.openxmlformats.org/spreadsheetml/2006/main" count="28" uniqueCount="25">
  <si>
    <t>No</t>
  </si>
  <si>
    <t>Tanggal</t>
  </si>
  <si>
    <t>pH</t>
  </si>
  <si>
    <t>Suhu</t>
  </si>
  <si>
    <t>Tanah</t>
  </si>
  <si>
    <t>Hasil pH</t>
  </si>
  <si>
    <t>Hasil Suhu</t>
  </si>
  <si>
    <t>Hasil Tanah</t>
  </si>
  <si>
    <t>Kipas</t>
  </si>
  <si>
    <t>PompaAir</t>
  </si>
  <si>
    <t>PompaPH</t>
  </si>
  <si>
    <t>25/6/2026 13:25</t>
  </si>
  <si>
    <t>Asam</t>
  </si>
  <si>
    <t>Sedang</t>
  </si>
  <si>
    <t>Basah</t>
  </si>
  <si>
    <t>25/6/2026 13:24</t>
  </si>
  <si>
    <t>25/6/2026 13:23</t>
  </si>
  <si>
    <t>25/6/2026 13:22</t>
  </si>
  <si>
    <t>25/6/2026 13:21</t>
  </si>
  <si>
    <t>Normal</t>
  </si>
  <si>
    <t>Basa</t>
  </si>
  <si>
    <t>Rendah</t>
  </si>
  <si>
    <t>Tinggi</t>
  </si>
  <si>
    <t>Kering</t>
  </si>
  <si>
    <t>Lembab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</si>
</sst>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4642-682D-4D33-90CA-80D617FFCD53}">
  <sheetPr>
    <pageSetUpPr fitToPage="1"/>
  </sheetPr>
  <dimension ref="A1:W6"/>
  <sheetViews>
    <sheetView tabSelected="1" zoomScale="145" zoomScaleNormal="145" workbookViewId="0">
      <selection activeCell="S2" sqref="S2"/>
    </sheetView>
  </sheetViews>
  <sheetFormatPr defaultRowHeight="15" x14ac:dyDescent="0.25"/>
  <cols>
    <col min="1" max="1" width="3.5703125" bestFit="1" customWidth="1"/>
    <col min="2" max="2" width="14.5703125" bestFit="1" customWidth="1"/>
    <col min="3" max="3" width="3.42578125" bestFit="1" customWidth="1"/>
    <col min="4" max="4" width="5.42578125" bestFit="1" customWidth="1"/>
    <col min="5" max="5" width="6.5703125" bestFit="1" customWidth="1"/>
    <col min="6" max="6" width="6" bestFit="1" customWidth="1"/>
    <col min="7" max="7" width="7.7109375" bestFit="1" customWidth="1"/>
    <col min="8" max="8" width="5.42578125" bestFit="1" customWidth="1"/>
    <col min="9" max="9" width="8.42578125" bestFit="1" customWidth="1"/>
    <col min="10" max="10" width="7.7109375" customWidth="1"/>
    <col min="11" max="11" width="8.140625" bestFit="1" customWidth="1"/>
    <col min="12" max="12" width="6.28515625" bestFit="1" customWidth="1"/>
    <col min="13" max="13" width="10.42578125" bestFit="1" customWidth="1"/>
    <col min="14" max="14" width="6.5703125" bestFit="1" customWidth="1"/>
    <col min="15" max="15" width="8" bestFit="1" customWidth="1"/>
    <col min="16" max="16" width="6.5703125" bestFit="1" customWidth="1"/>
    <col min="17" max="17" width="11.5703125" bestFit="1" customWidth="1"/>
    <col min="18" max="18" width="6" bestFit="1" customWidth="1"/>
    <col min="19" max="20" width="9.7109375" bestFit="1" customWidth="1"/>
    <col min="21" max="21" width="6" bestFit="1" customWidth="1"/>
    <col min="22" max="23" width="9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19</v>
      </c>
      <c r="H1" s="1" t="s">
        <v>20</v>
      </c>
      <c r="I1" s="1" t="s">
        <v>5</v>
      </c>
      <c r="J1" s="1" t="s">
        <v>21</v>
      </c>
      <c r="K1" s="1" t="s">
        <v>13</v>
      </c>
      <c r="L1" s="1" t="s">
        <v>22</v>
      </c>
      <c r="M1" s="1" t="s">
        <v>6</v>
      </c>
      <c r="N1" s="1" t="s">
        <v>23</v>
      </c>
      <c r="O1" s="1" t="s">
        <v>24</v>
      </c>
      <c r="P1" s="1" t="s">
        <v>14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8</v>
      </c>
      <c r="V1" s="1" t="s">
        <v>9</v>
      </c>
      <c r="W1" s="1" t="s">
        <v>10</v>
      </c>
    </row>
    <row r="2" spans="1:23" x14ac:dyDescent="0.25">
      <c r="A2" s="2">
        <v>1</v>
      </c>
      <c r="B2" s="2" t="s">
        <v>11</v>
      </c>
      <c r="C2" s="2">
        <v>5</v>
      </c>
      <c r="D2" s="2">
        <v>27.4</v>
      </c>
      <c r="E2" s="2">
        <v>79</v>
      </c>
      <c r="F2" s="3">
        <f>IF(C2&lt;=5, 1, IF(C2&lt;=6, (6-C2)/(6-5), 0))</f>
        <v>1</v>
      </c>
      <c r="G2" s="2">
        <f>IF(C2&lt;=5.5, 0, IF(C2&lt;=6, (C2-5.5)/(6-5.5),IF(C2&lt;=7, 1, IF(C2&lt;=7.5, (7.5-C2)/(7.5-7), 0))))</f>
        <v>0</v>
      </c>
      <c r="H2" s="2">
        <f>IF(C2&lt;=7, 0, IF(C2&lt;=7.5, (C2-7)/(7.5-7), 1))</f>
        <v>0</v>
      </c>
      <c r="I2" s="2" t="str">
        <f>IF(AND(F2&gt;=G2,F2&gt;=H2),"Asam",IF(G2&gt;=H2,"Normal","Basa"))</f>
        <v>Asam</v>
      </c>
      <c r="J2" s="2">
        <f>IF(D2&lt;=24, 1, IF(D2&lt;=27, (27-D2)/(27-24), 0))</f>
        <v>0</v>
      </c>
      <c r="K2" s="3">
        <f>IF(D2&lt;=27,0,IF(D2&lt;=27,(D2-24)/(27-24),IF(D2&lt;=31,(31-D2)/(31-27),0)))</f>
        <v>0.90000000000000036</v>
      </c>
      <c r="L2" s="3">
        <f>IF(D2&lt;=27, 0, IF(D2&lt;=31, (D2-27)/(31-27), 1))</f>
        <v>9.9999999999999645E-2</v>
      </c>
      <c r="M2" s="2" t="str">
        <f>IF(AND(J2&gt;=K2,J2&gt;=L2),"Rendah",IF(K2&gt;=L2,"Sedang","Tinggi"))</f>
        <v>Sedang</v>
      </c>
      <c r="N2" s="2">
        <f>IF(E2&lt;=40, 1, IF(E2&lt;=50, (50-E2)/(50-40), 0))</f>
        <v>0</v>
      </c>
      <c r="O2" s="3">
        <f>IF(E2&lt;=40, 0, IF(E2&lt;=50, (E2-40)/(50-40),IF(E2&lt;=70, 1, IF(E2&lt;=80, (80-E2)/(80-70), 0))))</f>
        <v>0.1</v>
      </c>
      <c r="P2" s="2">
        <f>IF(E2&lt;=70, 0, IF(E2&lt;=80, (E2-70)/(80-70), 1))</f>
        <v>0.9</v>
      </c>
      <c r="Q2" s="2" t="str">
        <f>IF(AND(N2&gt;=O2,N2&gt;=P2),"Kering",IF(O2&gt;=P2,"Lembab","Basah"))</f>
        <v>Basah</v>
      </c>
      <c r="R2" s="3">
        <f>L2</f>
        <v>9.9999999999999645E-2</v>
      </c>
      <c r="S2" s="3">
        <f>MAX(N2, MIN(O2, L2))</f>
        <v>9.9999999999999645E-2</v>
      </c>
      <c r="T2" s="3">
        <f>F2</f>
        <v>1</v>
      </c>
      <c r="U2" s="2" t="str">
        <f>IF(R2&gt;0.5,"ON","OFF")</f>
        <v>OFF</v>
      </c>
      <c r="V2" s="2" t="str">
        <f>IF(S2&gt;0.4,"ON","OFF")</f>
        <v>OFF</v>
      </c>
      <c r="W2" s="2" t="str">
        <f>IF(T2&gt;0.4,"ON","OFF")</f>
        <v>ON</v>
      </c>
    </row>
    <row r="3" spans="1:23" x14ac:dyDescent="0.25">
      <c r="A3" s="2">
        <v>2</v>
      </c>
      <c r="B3" s="2" t="s">
        <v>15</v>
      </c>
      <c r="C3" s="2">
        <v>5</v>
      </c>
      <c r="D3" s="2">
        <v>27.5</v>
      </c>
      <c r="E3" s="2">
        <v>79</v>
      </c>
      <c r="F3" s="3">
        <f t="shared" ref="F3:F6" si="0">IF(C3&lt;=5, 1, IF(C3&lt;=6, (6-C3)/(6-5), 0))</f>
        <v>1</v>
      </c>
      <c r="G3" s="2">
        <f t="shared" ref="G3:G6" si="1">IF(C3&lt;=5.5, 0, IF(C3&lt;=6, (C3-5.5)/(6-5.5),IF(C3&lt;=7, 1, IF(C3&lt;=7.5, (7.5-C3)/(7.5-7), 0))))</f>
        <v>0</v>
      </c>
      <c r="H3" s="2">
        <f t="shared" ref="H3:H6" si="2">IF(C3&lt;=7, 0, IF(C3&lt;=7.5, (C3-7)/(7.5-7), 1))</f>
        <v>0</v>
      </c>
      <c r="I3" s="2" t="str">
        <f t="shared" ref="I3:I6" si="3">IF(AND(F3&gt;=G3,F3&gt;=H3),"Asam",IF(G3&gt;=H3,"Normal","Basa"))</f>
        <v>Asam</v>
      </c>
      <c r="J3" s="2">
        <f>IF(D3&lt;=24, 1, IF(D3&lt;=27, (27-D3)/(27-24), 0))</f>
        <v>0</v>
      </c>
      <c r="K3" s="3">
        <f>IF(D3&lt;=27,0,IF(D3&lt;=27,(D3-24)/(27-24),IF(D3&lt;=31,(31-D3)/(31-27),0)))</f>
        <v>0.875</v>
      </c>
      <c r="L3" s="3">
        <f>IF(D3&lt;=27, 0, IF(D3&lt;=31, (D3-27)/(31-27), 1))</f>
        <v>0.125</v>
      </c>
      <c r="M3" s="2" t="str">
        <f>IF(AND(J3&gt;=K3,J3&gt;=L3),"Rendah",IF(K3&gt;=L3,"Sedang","Tinggi"))</f>
        <v>Sedang</v>
      </c>
      <c r="N3" s="2">
        <f>IF(E3&lt;=40, 1, IF(E3&lt;=50, (50-E3)/(50-40), 0))</f>
        <v>0</v>
      </c>
      <c r="O3" s="3">
        <f>IF(E3&lt;=40, 0, IF(E3&lt;=50, (E3-40)/(50-40),IF(E3&lt;=70, 1, IF(E3&lt;=80, (80-E3)/(80-70), 0))))</f>
        <v>0.1</v>
      </c>
      <c r="P3" s="2">
        <f>IF(E3&lt;=70, 0, IF(E3&lt;=80, (E3-70)/(80-70), 1))</f>
        <v>0.9</v>
      </c>
      <c r="Q3" s="2" t="str">
        <f>IF(AND(N3&gt;=O3,N3&gt;=P3),"Kering",IF(O3&gt;=P3,"Lembab","Basah"))</f>
        <v>Basah</v>
      </c>
      <c r="R3" s="3">
        <f>L3</f>
        <v>0.125</v>
      </c>
      <c r="S3" s="3">
        <f>MAX(N3, MIN(O3, L3))</f>
        <v>0.1</v>
      </c>
      <c r="T3" s="3">
        <f t="shared" ref="T3:T6" si="4">F3</f>
        <v>1</v>
      </c>
      <c r="U3" s="2" t="str">
        <f t="shared" ref="U3:U6" si="5">IF(R3&gt;0.5,"ON","OFF")</f>
        <v>OFF</v>
      </c>
      <c r="V3" s="2" t="str">
        <f t="shared" ref="V3:V6" si="6">IF(S3&gt;0.4,"ON","OFF")</f>
        <v>OFF</v>
      </c>
      <c r="W3" s="2" t="str">
        <f t="shared" ref="W3:W6" si="7">IF(T3&gt;0.4,"ON","OFF")</f>
        <v>ON</v>
      </c>
    </row>
    <row r="4" spans="1:23" x14ac:dyDescent="0.25">
      <c r="A4" s="2">
        <v>3</v>
      </c>
      <c r="B4" s="2" t="s">
        <v>16</v>
      </c>
      <c r="C4" s="2">
        <v>5</v>
      </c>
      <c r="D4" s="2">
        <v>27.5</v>
      </c>
      <c r="E4" s="2">
        <v>78</v>
      </c>
      <c r="F4" s="3">
        <f t="shared" si="0"/>
        <v>1</v>
      </c>
      <c r="G4" s="2">
        <f t="shared" si="1"/>
        <v>0</v>
      </c>
      <c r="H4" s="2">
        <f t="shared" si="2"/>
        <v>0</v>
      </c>
      <c r="I4" s="2" t="str">
        <f t="shared" si="3"/>
        <v>Asam</v>
      </c>
      <c r="J4" s="2">
        <f>IF(D4&lt;=24, 1, IF(D4&lt;=27, (27-D4)/(27-24), 0))</f>
        <v>0</v>
      </c>
      <c r="K4" s="3">
        <f>IF(D4&lt;=27,0,IF(D4&lt;=27,(D4-24)/(27-24),IF(D4&lt;=31,(31-D4)/(31-27),0)))</f>
        <v>0.875</v>
      </c>
      <c r="L4" s="3">
        <f>IF(D4&lt;=27, 0, IF(D4&lt;=31, (D4-27)/(31-27), 1))</f>
        <v>0.125</v>
      </c>
      <c r="M4" s="2" t="str">
        <f>IF(AND(J4&gt;=K4,J4&gt;=L4),"Rendah",IF(K4&gt;=L4,"Sedang","Tinggi"))</f>
        <v>Sedang</v>
      </c>
      <c r="N4" s="2">
        <f>IF(E4&lt;=40, 1, IF(E4&lt;=50, (50-E4)/(50-40), 0))</f>
        <v>0</v>
      </c>
      <c r="O4" s="3">
        <f>IF(E4&lt;=40, 0, IF(E4&lt;=50, (E4-40)/(50-40),IF(E4&lt;=70, 1, IF(E4&lt;=80, (80-E4)/(80-70), 0))))</f>
        <v>0.2</v>
      </c>
      <c r="P4" s="2">
        <f>IF(E4&lt;=70, 0, IF(E4&lt;=80, (E4-70)/(80-70), 1))</f>
        <v>0.8</v>
      </c>
      <c r="Q4" s="2" t="str">
        <f>IF(AND(N4&gt;=O4,N4&gt;=P4),"Kering",IF(O4&gt;=P4,"Lembab","Basah"))</f>
        <v>Basah</v>
      </c>
      <c r="R4" s="3">
        <f>L4</f>
        <v>0.125</v>
      </c>
      <c r="S4" s="3">
        <f>MAX(N4, MIN(O4, L4))</f>
        <v>0.125</v>
      </c>
      <c r="T4" s="3">
        <f t="shared" si="4"/>
        <v>1</v>
      </c>
      <c r="U4" s="2" t="str">
        <f t="shared" si="5"/>
        <v>OFF</v>
      </c>
      <c r="V4" s="2" t="str">
        <f t="shared" si="6"/>
        <v>OFF</v>
      </c>
      <c r="W4" s="2" t="str">
        <f t="shared" si="7"/>
        <v>ON</v>
      </c>
    </row>
    <row r="5" spans="1:23" x14ac:dyDescent="0.25">
      <c r="A5" s="2">
        <v>4</v>
      </c>
      <c r="B5" s="2" t="s">
        <v>17</v>
      </c>
      <c r="C5" s="2">
        <v>5</v>
      </c>
      <c r="D5" s="2">
        <v>27.4</v>
      </c>
      <c r="E5" s="2">
        <v>79</v>
      </c>
      <c r="F5" s="3">
        <f t="shared" si="0"/>
        <v>1</v>
      </c>
      <c r="G5" s="2">
        <f t="shared" si="1"/>
        <v>0</v>
      </c>
      <c r="H5" s="2">
        <f t="shared" si="2"/>
        <v>0</v>
      </c>
      <c r="I5" s="2" t="str">
        <f t="shared" si="3"/>
        <v>Asam</v>
      </c>
      <c r="J5" s="2">
        <f>IF(D5&lt;=24, 1, IF(D5&lt;=27, (27-D5)/(27-24), 0))</f>
        <v>0</v>
      </c>
      <c r="K5" s="3">
        <f>IF(D5&lt;=27,0,IF(D5&lt;=27,(D5-24)/(27-24),IF(D5&lt;=31,(31-D5)/(31-27),0)))</f>
        <v>0.90000000000000036</v>
      </c>
      <c r="L5" s="3">
        <f>IF(D5&lt;=27, 0, IF(D5&lt;=31, (D5-27)/(31-27), 1))</f>
        <v>9.9999999999999645E-2</v>
      </c>
      <c r="M5" s="2" t="str">
        <f>IF(AND(J5&gt;=K5,J5&gt;=L5),"Rendah",IF(K5&gt;=L5,"Sedang","Tinggi"))</f>
        <v>Sedang</v>
      </c>
      <c r="N5" s="2">
        <f>IF(E5&lt;=40, 1, IF(E5&lt;=50, (50-E5)/(50-40), 0))</f>
        <v>0</v>
      </c>
      <c r="O5" s="3">
        <f>IF(E5&lt;=40, 0, IF(E5&lt;=50, (E5-40)/(50-40),IF(E5&lt;=70, 1, IF(E5&lt;=80, (80-E5)/(80-70), 0))))</f>
        <v>0.1</v>
      </c>
      <c r="P5" s="2">
        <f>IF(E5&lt;=70, 0, IF(E5&lt;=80, (E5-70)/(80-70), 1))</f>
        <v>0.9</v>
      </c>
      <c r="Q5" s="2" t="str">
        <f>IF(AND(N5&gt;=O5,N5&gt;=P5),"Kering",IF(O5&gt;=P5,"Lembab","Basah"))</f>
        <v>Basah</v>
      </c>
      <c r="R5" s="3">
        <f>L5</f>
        <v>9.9999999999999645E-2</v>
      </c>
      <c r="S5" s="3">
        <f>MAX(N5, MIN(O5, L5))</f>
        <v>9.9999999999999645E-2</v>
      </c>
      <c r="T5" s="3">
        <f t="shared" si="4"/>
        <v>1</v>
      </c>
      <c r="U5" s="2" t="str">
        <f t="shared" si="5"/>
        <v>OFF</v>
      </c>
      <c r="V5" s="2" t="str">
        <f t="shared" si="6"/>
        <v>OFF</v>
      </c>
      <c r="W5" s="2" t="str">
        <f t="shared" si="7"/>
        <v>ON</v>
      </c>
    </row>
    <row r="6" spans="1:23" x14ac:dyDescent="0.25">
      <c r="A6" s="2">
        <v>5</v>
      </c>
      <c r="B6" s="2" t="s">
        <v>18</v>
      </c>
      <c r="C6" s="2">
        <v>5</v>
      </c>
      <c r="D6" s="2">
        <v>27.2</v>
      </c>
      <c r="E6" s="2">
        <v>79</v>
      </c>
      <c r="F6" s="3">
        <f t="shared" si="0"/>
        <v>1</v>
      </c>
      <c r="G6" s="2">
        <f t="shared" si="1"/>
        <v>0</v>
      </c>
      <c r="H6" s="2">
        <f t="shared" si="2"/>
        <v>0</v>
      </c>
      <c r="I6" s="2" t="str">
        <f t="shared" si="3"/>
        <v>Asam</v>
      </c>
      <c r="J6" s="2">
        <f>IF(D6&lt;=24, 1, IF(D6&lt;=27, (27-D6)/(27-24), 0))</f>
        <v>0</v>
      </c>
      <c r="K6" s="3">
        <f>IF(D6&lt;=27,0,IF(D6&lt;=27,(D6-24)/(27-24),IF(D6&lt;=31,(31-D6)/(31-27),0)))</f>
        <v>0.95000000000000018</v>
      </c>
      <c r="L6" s="3">
        <f>IF(D6&lt;=27, 0, IF(D6&lt;=31, (D6-27)/(31-27), 1))</f>
        <v>4.9999999999999822E-2</v>
      </c>
      <c r="M6" s="2" t="str">
        <f>IF(AND(J6&gt;=K6,J6&gt;=L6),"Rendah",IF(K6&gt;=L6,"Sedang","Tinggi"))</f>
        <v>Sedang</v>
      </c>
      <c r="N6" s="2">
        <f>IF(E6&lt;=40, 1, IF(E6&lt;=50, (50-E6)/(50-40), 0))</f>
        <v>0</v>
      </c>
      <c r="O6" s="3">
        <f>IF(E6&lt;=40, 0, IF(E6&lt;=50, (E6-40)/(50-40),IF(E6&lt;=70, 1, IF(E6&lt;=80, (80-E6)/(80-70), 0))))</f>
        <v>0.1</v>
      </c>
      <c r="P6" s="2">
        <f>IF(E6&lt;=70, 0, IF(E6&lt;=80, (E6-70)/(80-70), 1))</f>
        <v>0.9</v>
      </c>
      <c r="Q6" s="2" t="str">
        <f>IF(AND(N6&gt;=O6,N6&gt;=P6),"Kering",IF(O6&gt;=P6,"Lembab","Basah"))</f>
        <v>Basah</v>
      </c>
      <c r="R6" s="3">
        <f>L6</f>
        <v>4.9999999999999822E-2</v>
      </c>
      <c r="S6" s="3">
        <f>MAX(N6, MIN(O6, L6))</f>
        <v>4.9999999999999822E-2</v>
      </c>
      <c r="T6" s="3">
        <f t="shared" si="4"/>
        <v>1</v>
      </c>
      <c r="U6" s="2" t="str">
        <f t="shared" si="5"/>
        <v>OFF</v>
      </c>
      <c r="V6" s="2" t="str">
        <f t="shared" si="6"/>
        <v>OFF</v>
      </c>
      <c r="W6" s="2" t="str">
        <f t="shared" si="7"/>
        <v>ON</v>
      </c>
    </row>
  </sheetData>
  <pageMargins left="0.7" right="0.7" top="0.75" bottom="0.75" header="0.3" footer="0.3"/>
  <pageSetup scale="6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UPT-LAB-KOM</dc:creator>
  <cp:lastModifiedBy>UPT-LAB-KOM</cp:lastModifiedBy>
  <cp:lastPrinted>2026-07-02T02:19:48Z</cp:lastPrinted>
  <dcterms:created xsi:type="dcterms:W3CDTF">2026-06-29T14:22:21Z</dcterms:created>
  <dcterms:modified xsi:type="dcterms:W3CDTF">2026-07-02T03:30:51Z</dcterms:modified>
</cp:coreProperties>
</file>