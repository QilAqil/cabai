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A\git ta\"/>
    </mc:Choice>
  </mc:AlternateContent>
  <xr:revisionPtr revIDLastSave="0" documentId="13_ncr:1_{7960E4AD-07CF-4DC5-91BD-D1AEFE3642A0}" xr6:coauthVersionLast="47" xr6:coauthVersionMax="47" xr10:uidLastSave="{00000000-0000-0000-0000-000000000000}"/>
  <bookViews>
    <workbookView xWindow="-120" yWindow="-120" windowWidth="29040" windowHeight="15720" xr2:uid="{A7089781-A716-412D-87ED-AB088FC0AD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N3" i="1"/>
  <c r="N4" i="1"/>
  <c r="N5" i="1"/>
  <c r="N6" i="1"/>
  <c r="M3" i="1"/>
  <c r="M4" i="1"/>
  <c r="M5" i="1"/>
  <c r="M6" i="1"/>
  <c r="L3" i="1"/>
  <c r="L4" i="1"/>
  <c r="L5" i="1"/>
  <c r="L6" i="1"/>
  <c r="N2" i="1"/>
  <c r="M2" i="1"/>
  <c r="L2" i="1"/>
  <c r="J3" i="1"/>
  <c r="P3" i="1" s="1"/>
  <c r="S3" i="1" s="1"/>
  <c r="J4" i="1"/>
  <c r="P4" i="1" s="1"/>
  <c r="S4" i="1" s="1"/>
  <c r="J5" i="1"/>
  <c r="P5" i="1" s="1"/>
  <c r="S5" i="1" s="1"/>
  <c r="J6" i="1"/>
  <c r="P6" i="1" s="1"/>
  <c r="S6" i="1" s="1"/>
  <c r="J2" i="1"/>
  <c r="H3" i="1"/>
  <c r="H4" i="1"/>
  <c r="H5" i="1"/>
  <c r="H6" i="1"/>
  <c r="H2" i="1"/>
  <c r="F3" i="1"/>
  <c r="F4" i="1"/>
  <c r="F5" i="1"/>
  <c r="F6" i="1"/>
  <c r="F2" i="1"/>
  <c r="E3" i="1"/>
  <c r="E4" i="1"/>
  <c r="E5" i="1"/>
  <c r="E6" i="1"/>
  <c r="E2" i="1"/>
  <c r="D3" i="1"/>
  <c r="R3" i="1" s="1"/>
  <c r="U3" i="1" s="1"/>
  <c r="D4" i="1"/>
  <c r="R4" i="1" s="1"/>
  <c r="U4" i="1" s="1"/>
  <c r="D5" i="1"/>
  <c r="R5" i="1" s="1"/>
  <c r="U5" i="1" s="1"/>
  <c r="D6" i="1"/>
  <c r="R6" i="1" s="1"/>
  <c r="U6" i="1" s="1"/>
  <c r="D2" i="1"/>
  <c r="R2" i="1" s="1"/>
  <c r="U2" i="1" s="1"/>
  <c r="Q4" i="1" l="1"/>
  <c r="T4" i="1" s="1"/>
  <c r="O4" i="1"/>
  <c r="O5" i="1"/>
  <c r="Q5" i="1"/>
  <c r="T5" i="1" s="1"/>
  <c r="K6" i="1"/>
  <c r="O6" i="1"/>
  <c r="G5" i="1"/>
  <c r="Q3" i="1"/>
  <c r="T3" i="1" s="1"/>
  <c r="Q6" i="1"/>
  <c r="T6" i="1" s="1"/>
  <c r="O3" i="1"/>
  <c r="G2" i="1"/>
  <c r="O2" i="1"/>
  <c r="G4" i="1"/>
  <c r="K3" i="1"/>
  <c r="G3" i="1"/>
  <c r="Q2" i="1"/>
  <c r="T2" i="1" s="1"/>
  <c r="G6" i="1"/>
  <c r="K5" i="1"/>
  <c r="K4" i="1"/>
  <c r="K2" i="1"/>
  <c r="P2" i="1"/>
  <c r="S2" i="1" s="1"/>
</calcChain>
</file>

<file path=xl/sharedStrings.xml><?xml version="1.0" encoding="utf-8"?>
<sst xmlns="http://schemas.openxmlformats.org/spreadsheetml/2006/main" count="41" uniqueCount="29">
  <si>
    <t>No</t>
  </si>
  <si>
    <t>Tanggal</t>
  </si>
  <si>
    <t>pH</t>
  </si>
  <si>
    <t>Suhu</t>
  </si>
  <si>
    <t>Tanah</t>
  </si>
  <si>
    <t>Hasil pH</t>
  </si>
  <si>
    <t>Hasil Suhu</t>
  </si>
  <si>
    <t>Hasil Tanah</t>
  </si>
  <si>
    <t>Kipas</t>
  </si>
  <si>
    <t>PompaAir</t>
  </si>
  <si>
    <t>PompaPH</t>
  </si>
  <si>
    <t>Asam</t>
  </si>
  <si>
    <t>Sedang</t>
  </si>
  <si>
    <t>Basah</t>
  </si>
  <si>
    <t>Normal</t>
  </si>
  <si>
    <t>Basa</t>
  </si>
  <si>
    <t>Rendah</t>
  </si>
  <si>
    <t>Tinggi</t>
  </si>
  <si>
    <t>Kering</t>
  </si>
  <si>
    <t>Lembab</t>
  </si>
  <si>
    <t>Variabel</t>
  </si>
  <si>
    <t>Himpunan</t>
  </si>
  <si>
    <t>Bawah</t>
  </si>
  <si>
    <t>Tengah</t>
  </si>
  <si>
    <t>Atas</t>
  </si>
  <si>
    <t>pH Tanah</t>
  </si>
  <si>
    <t>Suhu Udara</t>
  </si>
  <si>
    <t>Kelembapan</t>
  </si>
  <si>
    <t xml:space="preserve"> Tanah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</si>
</sst>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/>
    <xf numFmtId="0" fontId="0" fillId="0" borderId="1" xfId="0" applyBorder="1"/>
    <xf numFmtId="1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4642-682D-4D33-90CA-80D617FFCD53}">
  <sheetPr>
    <pageSetUpPr fitToPage="1"/>
  </sheetPr>
  <dimension ref="D1:U17"/>
  <sheetViews>
    <sheetView tabSelected="1" topLeftCell="D1" zoomScale="145" zoomScaleNormal="145" workbookViewId="0">
      <selection activeCell="R23" sqref="R23"/>
    </sheetView>
  </sheetViews>
  <sheetFormatPr defaultRowHeight="15" x14ac:dyDescent="0.25"/>
  <cols>
    <col min="1" max="1" width="3.5703125" bestFit="1" customWidth="1"/>
    <col min="2" max="2" width="14.5703125" bestFit="1" customWidth="1"/>
    <col min="3" max="3" width="3.42578125" bestFit="1" customWidth="1"/>
    <col min="4" max="4" width="6" bestFit="1" customWidth="1"/>
    <col min="5" max="5" width="10.140625" bestFit="1" customWidth="1"/>
    <col min="6" max="6" width="5.42578125" bestFit="1" customWidth="1"/>
    <col min="7" max="7" width="8.42578125" bestFit="1" customWidth="1"/>
    <col min="8" max="8" width="7.7109375" bestFit="1" customWidth="1"/>
    <col min="9" max="9" width="8.140625" bestFit="1" customWidth="1"/>
    <col min="10" max="10" width="6.28515625" bestFit="1" customWidth="1"/>
    <col min="11" max="11" width="12.140625" bestFit="1" customWidth="1"/>
    <col min="12" max="12" width="10.28515625" bestFit="1" customWidth="1"/>
    <col min="13" max="13" width="8" bestFit="1" customWidth="1"/>
    <col min="14" max="14" width="7.42578125" bestFit="1" customWidth="1"/>
    <col min="15" max="15" width="11.5703125" bestFit="1" customWidth="1"/>
    <col min="16" max="16" width="6" bestFit="1" customWidth="1"/>
    <col min="17" max="18" width="9.7109375" bestFit="1" customWidth="1"/>
    <col min="19" max="19" width="6" bestFit="1" customWidth="1"/>
    <col min="20" max="21" width="9.7109375" bestFit="1" customWidth="1"/>
  </cols>
  <sheetData>
    <row r="1" spans="4:21" x14ac:dyDescent="0.25">
      <c r="D1" s="1" t="s">
        <v>11</v>
      </c>
      <c r="E1" s="1" t="s">
        <v>14</v>
      </c>
      <c r="F1" s="1" t="s">
        <v>15</v>
      </c>
      <c r="G1" s="1" t="s">
        <v>5</v>
      </c>
      <c r="H1" s="1" t="s">
        <v>16</v>
      </c>
      <c r="I1" s="1" t="s">
        <v>12</v>
      </c>
      <c r="J1" s="1" t="s">
        <v>17</v>
      </c>
      <c r="K1" s="1" t="s">
        <v>6</v>
      </c>
      <c r="L1" s="1" t="s">
        <v>18</v>
      </c>
      <c r="M1" s="1" t="s">
        <v>19</v>
      </c>
      <c r="N1" s="1" t="s">
        <v>13</v>
      </c>
      <c r="O1" s="1" t="s">
        <v>7</v>
      </c>
      <c r="P1" s="1" t="s">
        <v>8</v>
      </c>
      <c r="Q1" s="1" t="s">
        <v>9</v>
      </c>
      <c r="R1" s="1" t="s">
        <v>10</v>
      </c>
      <c r="S1" s="1" t="s">
        <v>8</v>
      </c>
      <c r="T1" s="1" t="s">
        <v>9</v>
      </c>
      <c r="U1" s="1" t="s">
        <v>10</v>
      </c>
    </row>
    <row r="2" spans="4:21" x14ac:dyDescent="0.25">
      <c r="D2" s="3">
        <f>IF(F9&lt;=5, 1, IF(F9&lt;=6, (6-F9)/(6-5), 0))</f>
        <v>0</v>
      </c>
      <c r="E2" s="7">
        <f>IF(F9&lt;=5.5, 0, IF(F9&lt;=6, (F9-5.5)/(6-5.5),IF(F9&lt;=7, 1, IF(F9&lt;=7.5, (7.5-F9)/(7.5-7), 0))))</f>
        <v>1</v>
      </c>
      <c r="F2" s="2">
        <f>IF(F9&lt;=7, 0, IF(F9&lt;=7.5, (F9-7)/(7.5-7), 1))</f>
        <v>0</v>
      </c>
      <c r="G2" s="2" t="str">
        <f>IF(AND(D2&gt;=E2,D2&gt;=F2),"Asam",IF(E2&gt;=F2,"Normal","Basa"))</f>
        <v>Normal</v>
      </c>
      <c r="H2" s="2">
        <f>IF(G9&lt;=24, 1, IF(G9&lt;=27, (27-G9)/(27-24), 0))</f>
        <v>1</v>
      </c>
      <c r="I2" s="3">
        <f>IF(G9&lt;=27,0,IF(G9&lt;=27,(G9-24)/(27-24),IF(G9&lt;=31,(31-G9)/(31-27),0)))</f>
        <v>0</v>
      </c>
      <c r="J2" s="3">
        <f>IF(G9&lt;=27, 0, IF(G9&lt;=31, (G9-27)/(31-27), 1))</f>
        <v>0</v>
      </c>
      <c r="K2" s="2" t="str">
        <f>IF(AND(H2&gt;=I2,H2&gt;=J2),"Rendah",IF(I2&gt;=J2,"Sedang","Tinggi"))</f>
        <v>Rendah</v>
      </c>
      <c r="L2" s="2">
        <f>IF(H9&lt;=40, 1, IF(H9&lt;=50, (50-H9)/(50-40), 0))</f>
        <v>0</v>
      </c>
      <c r="M2" s="3">
        <f>IF(H9&lt;=40, 0, IF(H9&lt;=50, (H9-40)/(50-40),IF(H9&lt;=70, 1, IF(H9&lt;=80, (80-H9)/(80-70), 0))))</f>
        <v>1</v>
      </c>
      <c r="N2" s="2">
        <f>IF(H9&lt;=70, 0, IF(H9&lt;=80, (H9-70)/(80-70), 1))</f>
        <v>0</v>
      </c>
      <c r="O2" s="2" t="str">
        <f>IF(AND(L2&gt;=M2,L2&gt;=N2),"Kering",IF(M2&gt;=N2,"Lembab","Basah"))</f>
        <v>Lembab</v>
      </c>
      <c r="P2" s="3">
        <f>J2</f>
        <v>0</v>
      </c>
      <c r="Q2" s="3">
        <f>MAX(L2, MIN(M2, J2))</f>
        <v>0</v>
      </c>
      <c r="R2" s="3">
        <f>D2</f>
        <v>0</v>
      </c>
      <c r="S2" s="2" t="str">
        <f>IF(P2&gt;0.5,"ON","OFF")</f>
        <v>OFF</v>
      </c>
      <c r="T2" s="2" t="str">
        <f>IF(Q2&gt;0.4,"ON","OFF")</f>
        <v>OFF</v>
      </c>
      <c r="U2" s="2" t="str">
        <f>IF(R2&gt;0.4,"ON","OFF")</f>
        <v>OFF</v>
      </c>
    </row>
    <row r="3" spans="4:21" x14ac:dyDescent="0.25">
      <c r="D3" s="3">
        <f>IF(F10&lt;=5, 1, IF(F10&lt;=6, (6-F10)/(6-5), 0))</f>
        <v>0</v>
      </c>
      <c r="E3" s="2">
        <f>IF(F10&lt;=5.5, 0, IF(F10&lt;=6, (F10-5.5)/(6-5.5),IF(F10&lt;=7, 1, IF(F10&lt;=7.5, (7.5-F10)/(7.5-7), 0))))</f>
        <v>1</v>
      </c>
      <c r="F3" s="2">
        <f>IF(F10&lt;=7, 0, IF(F10&lt;=7.5, (F10-7)/(7.5-7), 1))</f>
        <v>0</v>
      </c>
      <c r="G3" s="2" t="str">
        <f t="shared" ref="G3:G6" si="0">IF(AND(D3&gt;=E3,D3&gt;=F3),"Asam",IF(E3&gt;=F3,"Normal","Basa"))</f>
        <v>Normal</v>
      </c>
      <c r="H3" s="2">
        <f>IF(G10&lt;=24, 1, IF(G10&lt;=27, (27-G10)/(27-24), 0))</f>
        <v>1</v>
      </c>
      <c r="I3" s="3">
        <f>IF(G10&lt;=27,0,IF(G10&lt;=27,(G10-24)/(27-24),IF(G10&lt;=31,(31-G10)/(31-27),0)))</f>
        <v>0</v>
      </c>
      <c r="J3" s="3">
        <f>IF(G10&lt;=27, 0, IF(G10&lt;=31, (G10-27)/(31-27), 1))</f>
        <v>0</v>
      </c>
      <c r="K3" s="2" t="str">
        <f>IF(AND(H3&gt;=I3,H3&gt;=J3),"Rendah",IF(I3&gt;=J3,"Sedang","Tinggi"))</f>
        <v>Rendah</v>
      </c>
      <c r="L3" s="2">
        <f>IF(H10&lt;=40, 1, IF(H10&lt;=50, (50-H10)/(50-40), 0))</f>
        <v>0</v>
      </c>
      <c r="M3" s="3">
        <f>IF(H10&lt;=40, 0, IF(H10&lt;=50, (H10-40)/(50-40),IF(H10&lt;=70, 1, IF(H10&lt;=80, (80-H10)/(80-70), 0))))</f>
        <v>0.9</v>
      </c>
      <c r="N3" s="2">
        <f>IF(H10&lt;=70, 0, IF(H10&lt;=80, (H10-70)/(80-70), 1))</f>
        <v>0.1</v>
      </c>
      <c r="O3" s="2" t="str">
        <f>IF(AND(L3&gt;=M3,L3&gt;=N3),"Kering",IF(M3&gt;=N3,"Lembab","Basah"))</f>
        <v>Lembab</v>
      </c>
      <c r="P3" s="3">
        <f>J3</f>
        <v>0</v>
      </c>
      <c r="Q3" s="3">
        <f>MAX(L3, MIN(M3, J3))</f>
        <v>0</v>
      </c>
      <c r="R3" s="3">
        <f t="shared" ref="R3:R6" si="1">D3</f>
        <v>0</v>
      </c>
      <c r="S3" s="2" t="str">
        <f t="shared" ref="S3:S6" si="2">IF(P3&gt;0.5,"ON","OFF")</f>
        <v>OFF</v>
      </c>
      <c r="T3" s="2" t="str">
        <f t="shared" ref="T3:T6" si="3">IF(Q3&gt;0.4,"ON","OFF")</f>
        <v>OFF</v>
      </c>
      <c r="U3" s="2" t="str">
        <f t="shared" ref="U3:U6" si="4">IF(R3&gt;0.4,"ON","OFF")</f>
        <v>OFF</v>
      </c>
    </row>
    <row r="4" spans="4:21" x14ac:dyDescent="0.25">
      <c r="D4" s="3">
        <f>IF(F11&lt;=5, 1, IF(F11&lt;=6, (6-F11)/(6-5), 0))</f>
        <v>0</v>
      </c>
      <c r="E4" s="2">
        <f>IF(F11&lt;=5.5, 0, IF(F11&lt;=6, (F11-5.5)/(6-5.5),IF(F11&lt;=7, 1, IF(F11&lt;=7.5, (7.5-F11)/(7.5-7), 0))))</f>
        <v>1</v>
      </c>
      <c r="F4" s="2">
        <f>IF(F11&lt;=7, 0, IF(F11&lt;=7.5, (F11-7)/(7.5-7), 1))</f>
        <v>0</v>
      </c>
      <c r="G4" s="2" t="str">
        <f t="shared" si="0"/>
        <v>Normal</v>
      </c>
      <c r="H4" s="2">
        <f>IF(G11&lt;=24, 1, IF(G11&lt;=27, (27-G11)/(27-24), 0))</f>
        <v>1</v>
      </c>
      <c r="I4" s="3">
        <f>IF(G11&lt;=27,0,IF(G11&lt;=27,(G11-24)/(27-24),IF(G11&lt;=31,(31-G11)/(31-27),0)))</f>
        <v>0</v>
      </c>
      <c r="J4" s="3">
        <f>IF(G11&lt;=27, 0, IF(G11&lt;=31, (G11-27)/(31-27), 1))</f>
        <v>0</v>
      </c>
      <c r="K4" s="2" t="str">
        <f>IF(AND(H4&gt;=I4,H4&gt;=J4),"Rendah",IF(I4&gt;=J4,"Sedang","Tinggi"))</f>
        <v>Rendah</v>
      </c>
      <c r="L4" s="2">
        <f>IF(H11&lt;=40, 1, IF(H11&lt;=50, (50-H11)/(50-40), 0))</f>
        <v>0</v>
      </c>
      <c r="M4" s="3">
        <f>IF(H11&lt;=40, 0, IF(H11&lt;=50, (H11-40)/(50-40),IF(H11&lt;=70, 1, IF(H11&lt;=80, (80-H11)/(80-70), 0))))</f>
        <v>1</v>
      </c>
      <c r="N4" s="2">
        <f>IF(H11&lt;=70, 0, IF(H11&lt;=80, (H11-70)/(80-70), 1))</f>
        <v>0</v>
      </c>
      <c r="O4" s="2" t="str">
        <f>IF(AND(L4&gt;=M4,L4&gt;=N4),"Kering",IF(M4&gt;=N4,"Lembab","Basah"))</f>
        <v>Lembab</v>
      </c>
      <c r="P4" s="3">
        <f>J4</f>
        <v>0</v>
      </c>
      <c r="Q4" s="3">
        <f>MAX(L4, MIN(M4, J4))</f>
        <v>0</v>
      </c>
      <c r="R4" s="3">
        <f t="shared" si="1"/>
        <v>0</v>
      </c>
      <c r="S4" s="2" t="str">
        <f t="shared" si="2"/>
        <v>OFF</v>
      </c>
      <c r="T4" s="2" t="str">
        <f t="shared" si="3"/>
        <v>OFF</v>
      </c>
      <c r="U4" s="2" t="str">
        <f t="shared" si="4"/>
        <v>OFF</v>
      </c>
    </row>
    <row r="5" spans="4:21" x14ac:dyDescent="0.25">
      <c r="D5" s="3">
        <f>IF(F12&lt;=5, 1, IF(F12&lt;=6, (6-F12)/(6-5), 0))</f>
        <v>0</v>
      </c>
      <c r="E5" s="2">
        <f>IF(F12&lt;=5.5, 0, IF(F12&lt;=6, (F12-5.5)/(6-5.5),IF(F12&lt;=7, 1, IF(F12&lt;=7.5, (7.5-F12)/(7.5-7), 0))))</f>
        <v>1</v>
      </c>
      <c r="F5" s="2">
        <f>IF(F12&lt;=7, 0, IF(F12&lt;=7.5, (F12-7)/(7.5-7), 1))</f>
        <v>0</v>
      </c>
      <c r="G5" s="2" t="str">
        <f t="shared" si="0"/>
        <v>Normal</v>
      </c>
      <c r="H5" s="2">
        <f>IF(G12&lt;=24, 1, IF(G12&lt;=27, (27-G12)/(27-24), 0))</f>
        <v>1</v>
      </c>
      <c r="I5" s="3">
        <f>IF(G12&lt;=27,0,IF(G12&lt;=27,(G12-24)/(27-24),IF(G12&lt;=31,(31-G12)/(31-27),0)))</f>
        <v>0</v>
      </c>
      <c r="J5" s="3">
        <f>IF(G12&lt;=27, 0, IF(G12&lt;=31, (G12-27)/(31-27), 1))</f>
        <v>0</v>
      </c>
      <c r="K5" s="2" t="str">
        <f>IF(AND(H5&gt;=I5,H5&gt;=J5),"Rendah",IF(I5&gt;=J5,"Sedang","Tinggi"))</f>
        <v>Rendah</v>
      </c>
      <c r="L5" s="2">
        <f>IF(H12&lt;=40, 1, IF(H12&lt;=50, (50-H12)/(50-40), 0))</f>
        <v>0</v>
      </c>
      <c r="M5" s="3">
        <f>IF(H12&lt;=40, 0, IF(H12&lt;=50, (H12-40)/(50-40),IF(H12&lt;=70, 1, IF(H12&lt;=80, (80-H12)/(80-70), 0))))</f>
        <v>1</v>
      </c>
      <c r="N5" s="2">
        <f>IF(H12&lt;=70, 0, IF(H12&lt;=80, (H12-70)/(80-70), 1))</f>
        <v>0</v>
      </c>
      <c r="O5" s="2" t="str">
        <f>IF(AND(L5&gt;=M5,L5&gt;=N5),"Kering",IF(M5&gt;=N5,"Lembab","Basah"))</f>
        <v>Lembab</v>
      </c>
      <c r="P5" s="3">
        <f>J5</f>
        <v>0</v>
      </c>
      <c r="Q5" s="3">
        <f>MAX(L5, MIN(M5, J5))</f>
        <v>0</v>
      </c>
      <c r="R5" s="3">
        <f t="shared" si="1"/>
        <v>0</v>
      </c>
      <c r="S5" s="2" t="str">
        <f t="shared" si="2"/>
        <v>OFF</v>
      </c>
      <c r="T5" s="2" t="str">
        <f t="shared" si="3"/>
        <v>OFF</v>
      </c>
      <c r="U5" s="2" t="str">
        <f t="shared" si="4"/>
        <v>OFF</v>
      </c>
    </row>
    <row r="6" spans="4:21" x14ac:dyDescent="0.25">
      <c r="D6" s="3">
        <f>IF(F13&lt;=5, 1, IF(F13&lt;=6, (6-F13)/(6-5), 0))</f>
        <v>4.9999999999999822E-2</v>
      </c>
      <c r="E6" s="8">
        <f>IF(F13&lt;=5.5, 0, IF(F13&lt;=6, (F13-5.5)/(6-5.5),IF(F13&lt;=7, 1, IF(F13&lt;=7.5, (7.5-F13)/(7.5-7), 0))))</f>
        <v>0.90000000000000036</v>
      </c>
      <c r="F6" s="2">
        <f>IF(F13&lt;=7, 0, IF(F13&lt;=7.5, (F13-7)/(7.5-7), 1))</f>
        <v>0</v>
      </c>
      <c r="G6" s="2" t="str">
        <f t="shared" si="0"/>
        <v>Normal</v>
      </c>
      <c r="H6" s="3">
        <f>IF(G13&lt;=24, 1, IF(G13&lt;=27, (27-G13)/(27-24), 0))</f>
        <v>0.86666666666666714</v>
      </c>
      <c r="I6" s="3">
        <f>IF(G13&lt;=27,0,IF(G13&lt;=27,(G13-24)/(27-24),IF(G13&lt;=31,(31-G13)/(31-27),0)))</f>
        <v>0</v>
      </c>
      <c r="J6" s="3">
        <f>IF(G13&lt;=27, 0, IF(G13&lt;=31, (G13-27)/(31-27), 1))</f>
        <v>0</v>
      </c>
      <c r="K6" s="2" t="str">
        <f>IF(AND(H6&gt;=I6,H6&gt;=J6),"Rendah",IF(I6&gt;=J6,"Sedang","Tinggi"))</f>
        <v>Rendah</v>
      </c>
      <c r="L6" s="2">
        <f>IF(H13&lt;=40, 1, IF(H13&lt;=50, (50-H13)/(50-40), 0))</f>
        <v>0.1</v>
      </c>
      <c r="M6" s="3">
        <f>IF(H13&lt;=40, 0, IF(H13&lt;=50, (H13-40)/(50-40),IF(H13&lt;=70, 1, IF(H13&lt;=80, (80-H13)/(80-70), 0))))</f>
        <v>0.9</v>
      </c>
      <c r="N6" s="2">
        <f>IF(H13&lt;=70, 0, IF(H13&lt;=80, (H13-70)/(80-70), 1))</f>
        <v>0</v>
      </c>
      <c r="O6" s="2" t="str">
        <f>IF(AND(L6&gt;=M6,L6&gt;=N6),"Kering",IF(M6&gt;=N6,"Lembab","Basah"))</f>
        <v>Lembab</v>
      </c>
      <c r="P6" s="3">
        <f>J6</f>
        <v>0</v>
      </c>
      <c r="Q6" s="3">
        <f>MAX(L6, MIN(M6, J6))</f>
        <v>0.1</v>
      </c>
      <c r="R6" s="3">
        <f t="shared" si="1"/>
        <v>4.9999999999999822E-2</v>
      </c>
      <c r="S6" s="2" t="str">
        <f t="shared" si="2"/>
        <v>OFF</v>
      </c>
      <c r="T6" s="2" t="str">
        <f t="shared" si="3"/>
        <v>OFF</v>
      </c>
      <c r="U6" s="2" t="str">
        <f t="shared" si="4"/>
        <v>OFF</v>
      </c>
    </row>
    <row r="8" spans="4:21" x14ac:dyDescent="0.25">
      <c r="D8" s="1" t="s">
        <v>0</v>
      </c>
      <c r="E8" s="1" t="s">
        <v>1</v>
      </c>
      <c r="F8" s="1" t="s">
        <v>2</v>
      </c>
      <c r="G8" s="1" t="s">
        <v>3</v>
      </c>
      <c r="H8" s="1" t="s">
        <v>4</v>
      </c>
      <c r="K8" s="4" t="s">
        <v>20</v>
      </c>
      <c r="L8" s="4" t="s">
        <v>21</v>
      </c>
      <c r="M8" s="4" t="s">
        <v>22</v>
      </c>
      <c r="N8" s="4" t="s">
        <v>23</v>
      </c>
      <c r="O8" s="4" t="s">
        <v>24</v>
      </c>
    </row>
    <row r="9" spans="4:21" x14ac:dyDescent="0.25">
      <c r="D9" s="2">
        <v>1</v>
      </c>
      <c r="E9" s="6">
        <v>46088</v>
      </c>
      <c r="F9" s="3">
        <v>6.9</v>
      </c>
      <c r="G9" s="8">
        <v>22</v>
      </c>
      <c r="H9" s="2">
        <v>70</v>
      </c>
      <c r="K9" s="4" t="s">
        <v>25</v>
      </c>
      <c r="L9" s="5" t="s">
        <v>11</v>
      </c>
      <c r="M9" s="5">
        <v>3</v>
      </c>
      <c r="N9" s="5">
        <v>5</v>
      </c>
      <c r="O9" s="5">
        <v>6</v>
      </c>
    </row>
    <row r="10" spans="4:21" x14ac:dyDescent="0.25">
      <c r="D10" s="2">
        <v>2</v>
      </c>
      <c r="E10" s="6">
        <v>46088</v>
      </c>
      <c r="F10" s="3">
        <v>6.9</v>
      </c>
      <c r="G10" s="8">
        <v>22</v>
      </c>
      <c r="H10" s="2">
        <v>71</v>
      </c>
      <c r="K10" s="4"/>
      <c r="L10" s="5" t="s">
        <v>14</v>
      </c>
      <c r="M10" s="5">
        <v>5.5</v>
      </c>
      <c r="N10" s="5">
        <v>6.5</v>
      </c>
      <c r="O10" s="5">
        <v>7.5</v>
      </c>
    </row>
    <row r="11" spans="4:21" x14ac:dyDescent="0.25">
      <c r="D11" s="2">
        <v>3</v>
      </c>
      <c r="E11" s="6">
        <v>46119</v>
      </c>
      <c r="F11" s="2">
        <v>6.43</v>
      </c>
      <c r="G11" s="2">
        <v>23.1</v>
      </c>
      <c r="H11" s="2">
        <v>58</v>
      </c>
      <c r="K11" s="4"/>
      <c r="L11" s="5" t="s">
        <v>15</v>
      </c>
      <c r="M11" s="5">
        <v>7</v>
      </c>
      <c r="N11" s="5">
        <v>7.5</v>
      </c>
      <c r="O11" s="5">
        <v>9</v>
      </c>
    </row>
    <row r="12" spans="4:21" x14ac:dyDescent="0.25">
      <c r="D12" s="2">
        <v>4</v>
      </c>
      <c r="E12" s="6">
        <v>46119</v>
      </c>
      <c r="F12" s="2">
        <v>6.31</v>
      </c>
      <c r="G12" s="2">
        <v>23.1</v>
      </c>
      <c r="H12" s="2">
        <v>58</v>
      </c>
      <c r="K12" s="4" t="s">
        <v>26</v>
      </c>
      <c r="L12" s="5" t="s">
        <v>16</v>
      </c>
      <c r="M12" s="5">
        <v>0</v>
      </c>
      <c r="N12" s="5">
        <v>24</v>
      </c>
      <c r="O12" s="5">
        <v>27</v>
      </c>
    </row>
    <row r="13" spans="4:21" x14ac:dyDescent="0.25">
      <c r="D13" s="2">
        <v>5</v>
      </c>
      <c r="E13" s="6">
        <v>46149</v>
      </c>
      <c r="F13" s="2">
        <v>5.95</v>
      </c>
      <c r="G13" s="2">
        <v>24.4</v>
      </c>
      <c r="H13" s="2">
        <v>49</v>
      </c>
      <c r="K13" s="4"/>
      <c r="L13" s="5" t="s">
        <v>12</v>
      </c>
      <c r="M13" s="5">
        <v>24</v>
      </c>
      <c r="N13" s="5">
        <v>27</v>
      </c>
      <c r="O13" s="5">
        <v>31</v>
      </c>
    </row>
    <row r="14" spans="4:21" x14ac:dyDescent="0.25">
      <c r="K14" s="4"/>
      <c r="L14" s="5" t="s">
        <v>17</v>
      </c>
      <c r="M14" s="5">
        <v>27</v>
      </c>
      <c r="N14" s="5">
        <v>31</v>
      </c>
      <c r="O14" s="5">
        <v>45</v>
      </c>
    </row>
    <row r="15" spans="4:21" x14ac:dyDescent="0.25">
      <c r="K15" s="4" t="s">
        <v>27</v>
      </c>
      <c r="L15" s="5" t="s">
        <v>18</v>
      </c>
      <c r="M15" s="5">
        <v>0</v>
      </c>
      <c r="N15" s="5">
        <v>40</v>
      </c>
      <c r="O15" s="5">
        <v>50</v>
      </c>
    </row>
    <row r="16" spans="4:21" x14ac:dyDescent="0.25">
      <c r="K16" s="4" t="s">
        <v>28</v>
      </c>
      <c r="L16" s="5" t="s">
        <v>19</v>
      </c>
      <c r="M16" s="5">
        <v>40</v>
      </c>
      <c r="N16" s="5">
        <v>60</v>
      </c>
      <c r="O16" s="5">
        <v>80</v>
      </c>
    </row>
    <row r="17" spans="11:15" x14ac:dyDescent="0.25">
      <c r="K17" s="4"/>
      <c r="L17" s="5" t="s">
        <v>13</v>
      </c>
      <c r="M17" s="5">
        <v>70</v>
      </c>
      <c r="N17" s="5">
        <v>80</v>
      </c>
      <c r="O17" s="5">
        <v>100</v>
      </c>
    </row>
  </sheetData>
  <pageMargins left="0.7" right="0.7" top="0.75" bottom="0.75" header="0.3" footer="0.3"/>
  <pageSetup scale="7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UPT-LAB-KOM</dc:creator>
  <cp:lastModifiedBy>UPT-LAB-KOM</cp:lastModifiedBy>
  <cp:lastPrinted>2026-07-05T15:33:18Z</cp:lastPrinted>
  <dcterms:created xsi:type="dcterms:W3CDTF">2026-06-29T14:22:21Z</dcterms:created>
  <dcterms:modified xsi:type="dcterms:W3CDTF">2026-07-09T06:50:27Z</dcterms:modified>
</cp:coreProperties>
</file>